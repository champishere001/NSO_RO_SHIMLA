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Sheet1!$A$1:$M$1</definedName>
  </definedNames>
  <calcPr/>
</workbook>
</file>

<file path=xl/sharedStrings.xml><?xml version="1.0" encoding="utf-8"?>
<sst xmlns="http://schemas.openxmlformats.org/spreadsheetml/2006/main" count="24" uniqueCount="19">
  <si>
    <t>URBAN FRAME SURVEY 2022-27</t>
  </si>
  <si>
    <t>WEEKLY PROGRS REPORT  (24th January 2026 -30th, January 2026) as on 30th January 2026 ....*...//*,,</t>
  </si>
  <si>
    <t>Sl. No.</t>
  </si>
  <si>
    <t xml:space="preserve">Scheme </t>
  </si>
  <si>
    <t>No. of towns completed in all respect</t>
  </si>
  <si>
    <t>No. of towns dispatched to Hqrs. 
(Zone/QC to FOD Hqrs)</t>
  </si>
  <si>
    <t>Towns in field</t>
  </si>
  <si>
    <t>Blocks formed in field</t>
  </si>
  <si>
    <t>During 24th January 2025 -30th January 2026</t>
  </si>
  <si>
    <t>Completed Since Start</t>
  </si>
  <si>
    <t>Under Survey</t>
  </si>
  <si>
    <t>% Towns Completed</t>
  </si>
  <si>
    <t>Since Start</t>
  </si>
  <si>
    <t>Update Y/N</t>
  </si>
  <si>
    <t>Shimla</t>
  </si>
  <si>
    <t>Hamirpur</t>
  </si>
  <si>
    <t>Dhramshala</t>
  </si>
  <si>
    <t>Y</t>
  </si>
  <si>
    <t>Mandi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</si>
</sst>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10">
    <font>
      <sz val="11.0"/>
      <color theme="1"/>
      <name val="Calibri"/>
      <scheme val="minor"/>
    </font>
    <font>
      <b/>
      <sz val="12.0"/>
      <color theme="1"/>
      <name val="Arial"/>
    </font>
    <font/>
    <font>
      <b/>
      <sz val="11.0"/>
      <color theme="1"/>
      <name val="Calibri"/>
    </font>
    <font>
      <b/>
      <sz val="12.0"/>
      <color theme="1"/>
      <name val="Bahnschrift SemiBold"/>
    </font>
    <font>
      <b/>
      <sz val="10.0"/>
      <color theme="1"/>
      <name val="Bahnschrift SemiBold"/>
    </font>
    <font>
      <b/>
      <color theme="1"/>
      <name val="Calibri"/>
      <scheme val="minor"/>
    </font>
    <font>
      <b/>
      <sz val="11.0"/>
      <color theme="1"/>
      <name val="Bahnschrift SemiBold"/>
    </font>
    <font>
      <b/>
      <sz val="11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2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0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1" fillId="3" fontId="4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3" fontId="1" numFmtId="0" xfId="0" applyAlignment="1" applyBorder="1" applyFont="1">
      <alignment horizontal="center" readingOrder="0" shrinkToFit="0" vertical="center" wrapText="1"/>
    </xf>
    <xf borderId="11" fillId="3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 shrinkToFit="0" wrapText="1"/>
    </xf>
    <xf borderId="11" fillId="0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/>
    </xf>
    <xf borderId="11" fillId="0" fontId="1" numFmtId="0" xfId="0" applyAlignment="1" applyBorder="1" applyFont="1">
      <alignment horizontal="center" readingOrder="0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readingOrder="0" shrinkToFit="0" vertical="center" wrapText="1"/>
    </xf>
    <xf borderId="11" fillId="4" fontId="8" numFmtId="0" xfId="0" applyAlignment="1" applyBorder="1" applyFill="1" applyFont="1">
      <alignment horizontal="center" readingOrder="0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wrapText="1"/>
    </xf>
    <xf borderId="11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4.0"/>
    <col customWidth="1" min="3" max="3" width="13.0"/>
    <col customWidth="1" min="4" max="4" width="24.43"/>
    <col customWidth="1" min="5" max="5" width="14.57"/>
    <col customWidth="1" min="6" max="6" width="11.86"/>
    <col customWidth="1" min="7" max="7" width="15.57"/>
    <col customWidth="1" min="8" max="8" width="27.29"/>
    <col customWidth="1" min="9" max="9" width="12.86"/>
    <col customWidth="1" min="10" max="10" width="25.14"/>
    <col customWidth="1" min="11" max="11" width="12.86"/>
    <col customWidth="1" min="12" max="12" width="22.86"/>
    <col customWidth="1" min="13" max="13" width="16.57"/>
    <col customWidth="1" min="14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2.25" customHeight="1">
      <c r="A3" s="5" t="s">
        <v>2</v>
      </c>
      <c r="B3" s="6" t="s">
        <v>3</v>
      </c>
      <c r="C3" s="7"/>
      <c r="D3" s="8"/>
      <c r="E3" s="2"/>
      <c r="F3" s="2"/>
      <c r="G3" s="2"/>
      <c r="H3" s="2"/>
      <c r="I3" s="3"/>
      <c r="J3" s="9" t="s">
        <v>4</v>
      </c>
      <c r="K3" s="10"/>
      <c r="L3" s="9" t="s">
        <v>5</v>
      </c>
      <c r="M3" s="10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1.5" customHeight="1">
      <c r="A4" s="11"/>
      <c r="B4" s="11"/>
      <c r="C4" s="11"/>
      <c r="D4" s="12" t="s">
        <v>6</v>
      </c>
      <c r="E4" s="2"/>
      <c r="F4" s="2"/>
      <c r="G4" s="3"/>
      <c r="H4" s="12" t="s">
        <v>7</v>
      </c>
      <c r="I4" s="3"/>
      <c r="J4" s="13"/>
      <c r="K4" s="14"/>
      <c r="L4" s="13"/>
      <c r="M4" s="1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5"/>
      <c r="B5" s="15"/>
      <c r="C5" s="15"/>
      <c r="D5" s="16" t="s">
        <v>8</v>
      </c>
      <c r="E5" s="17" t="s">
        <v>9</v>
      </c>
      <c r="F5" s="16" t="s">
        <v>10</v>
      </c>
      <c r="G5" s="17" t="s">
        <v>11</v>
      </c>
      <c r="H5" s="16" t="s">
        <v>8</v>
      </c>
      <c r="I5" s="17" t="s">
        <v>12</v>
      </c>
      <c r="J5" s="16" t="s">
        <v>8</v>
      </c>
      <c r="K5" s="17" t="s">
        <v>12</v>
      </c>
      <c r="L5" s="16" t="s">
        <v>8</v>
      </c>
      <c r="M5" s="17" t="s">
        <v>12</v>
      </c>
      <c r="N5" s="18" t="s">
        <v>13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9">
        <v>1.0</v>
      </c>
      <c r="B6" s="17" t="s">
        <v>14</v>
      </c>
      <c r="C6" s="19">
        <v>25.0</v>
      </c>
      <c r="D6" s="20">
        <v>0.0</v>
      </c>
      <c r="E6" s="21">
        <v>22.0</v>
      </c>
      <c r="F6" s="21">
        <v>1.0</v>
      </c>
      <c r="G6" s="21">
        <f>E6/C6*100</f>
        <v>88</v>
      </c>
      <c r="H6" s="21">
        <v>39.0</v>
      </c>
      <c r="I6" s="16">
        <v>922.0</v>
      </c>
      <c r="J6" s="16">
        <v>0.0</v>
      </c>
      <c r="K6" s="16">
        <v>22.0</v>
      </c>
      <c r="L6" s="16">
        <v>0.0</v>
      </c>
      <c r="M6" s="16">
        <v>22.0</v>
      </c>
      <c r="N6" s="18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2">
        <v>2.0</v>
      </c>
      <c r="B7" s="22" t="s">
        <v>15</v>
      </c>
      <c r="C7" s="22">
        <v>15.0</v>
      </c>
      <c r="D7" s="23">
        <v>0.0</v>
      </c>
      <c r="E7" s="23">
        <v>13.0</v>
      </c>
      <c r="F7" s="23">
        <v>0.0</v>
      </c>
      <c r="G7" s="23">
        <v>87.0</v>
      </c>
      <c r="H7" s="24">
        <v>0.0</v>
      </c>
      <c r="I7" s="23">
        <v>239.0</v>
      </c>
      <c r="J7" s="23">
        <v>0.0</v>
      </c>
      <c r="K7" s="23">
        <v>13.0</v>
      </c>
      <c r="L7" s="23">
        <v>0.0</v>
      </c>
      <c r="M7" s="23">
        <v>13.0</v>
      </c>
      <c r="N7" s="18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2">
        <v>3.0</v>
      </c>
      <c r="B8" s="22" t="s">
        <v>16</v>
      </c>
      <c r="C8" s="25">
        <v>16.0</v>
      </c>
      <c r="D8" s="23">
        <v>0.0</v>
      </c>
      <c r="E8" s="23">
        <v>13.0</v>
      </c>
      <c r="F8" s="23">
        <v>1.0</v>
      </c>
      <c r="G8" s="23">
        <v>81.0</v>
      </c>
      <c r="H8" s="23">
        <v>2.0</v>
      </c>
      <c r="I8" s="23">
        <v>432.0</v>
      </c>
      <c r="J8" s="23">
        <v>0.0</v>
      </c>
      <c r="K8" s="23">
        <v>13.0</v>
      </c>
      <c r="L8" s="23">
        <v>0.0</v>
      </c>
      <c r="M8" s="23">
        <v>13.0</v>
      </c>
      <c r="N8" s="18" t="s">
        <v>17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2">
        <v>4.0</v>
      </c>
      <c r="B9" s="22" t="s">
        <v>18</v>
      </c>
      <c r="C9" s="22">
        <v>13.0</v>
      </c>
      <c r="D9" s="25">
        <v>0.0</v>
      </c>
      <c r="E9" s="25">
        <v>11.0</v>
      </c>
      <c r="F9" s="25">
        <v>0.0</v>
      </c>
      <c r="G9" s="25">
        <v>85.0</v>
      </c>
      <c r="H9" s="23">
        <v>0.0</v>
      </c>
      <c r="I9" s="25">
        <v>408.0</v>
      </c>
      <c r="J9" s="25">
        <v>0.0</v>
      </c>
      <c r="K9" s="25">
        <v>10.0</v>
      </c>
      <c r="L9" s="25">
        <v>0.0</v>
      </c>
      <c r="M9" s="25">
        <v>10.0</v>
      </c>
      <c r="N9" s="26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7"/>
      <c r="B10" s="27"/>
      <c r="C10" s="27">
        <f t="shared" ref="C10:F10" si="1">SUM(C6:C9)</f>
        <v>69</v>
      </c>
      <c r="D10" s="27">
        <f t="shared" si="1"/>
        <v>0</v>
      </c>
      <c r="E10" s="27">
        <f t="shared" si="1"/>
        <v>59</v>
      </c>
      <c r="F10" s="27">
        <f t="shared" si="1"/>
        <v>2</v>
      </c>
      <c r="G10" s="28">
        <v>85.51</v>
      </c>
      <c r="H10" s="28">
        <f>sum(H6:H9)</f>
        <v>41</v>
      </c>
      <c r="I10" s="27">
        <f t="shared" ref="I10:K10" si="2">SUM(I6:I9)</f>
        <v>2001</v>
      </c>
      <c r="J10" s="27">
        <f t="shared" si="2"/>
        <v>0</v>
      </c>
      <c r="K10" s="27">
        <f t="shared" si="2"/>
        <v>58</v>
      </c>
      <c r="L10" s="28">
        <f>sum(L9, L8, L7, L6)</f>
        <v>0</v>
      </c>
      <c r="M10" s="28">
        <f>sum(M8, M9, M7, M6)</f>
        <v>58</v>
      </c>
      <c r="N10" s="18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29"/>
      <c r="M14" s="30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M$1"/>
  <mergeCells count="10">
    <mergeCell ref="D3:I3"/>
    <mergeCell ref="D4:G4"/>
    <mergeCell ref="H4:I4"/>
    <mergeCell ref="A1:M1"/>
    <mergeCell ref="A2:M2"/>
    <mergeCell ref="A3:A5"/>
    <mergeCell ref="B3:B5"/>
    <mergeCell ref="C3:C5"/>
    <mergeCell ref="J3:K4"/>
    <mergeCell ref="L3:M4"/>
  </mergeCells>
  <printOptions/>
  <pageMargins bottom="0.75" footer="0.0" header="0.0" left="0.7" right="0.7" top="0.75"/>
  <pageSetup paperSize="9" orientation="landscape"/>
  <drawing r:id="rId1"/>
</worksheet>
</file>